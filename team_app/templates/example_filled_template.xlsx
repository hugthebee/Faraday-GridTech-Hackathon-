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 Me" sheetId="1" state="visible" r:id="rId1"/>
    <sheet name="Project Inputs" sheetId="2" state="visible" r:id="rId2"/>
    <sheet name="Load Ramp" sheetId="3" state="visible" r:id="rId3"/>
    <sheet name="Grid Connection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7F7F7F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color rgb="FF7F7F7F"/>
      <sz val="10"/>
    </font>
    <font>
      <name val="Arial"/>
      <charset val="1"/>
      <family val="0"/>
      <color rgb="FF7F7F7F"/>
      <sz val="9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1" fontId="7" fillId="2" borderId="1" applyAlignment="1" pivotButton="0" quotePrefix="0" xfId="0">
      <alignment horizontal="general" vertical="top" wrapText="1"/>
    </xf>
    <xf numFmtId="1" fontId="9" fillId="5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164" fontId="9" fillId="5" borderId="1" applyAlignment="1" pivotButton="0" quotePrefix="0" xfId="0">
      <alignment horizontal="general" vertical="top" wrapText="1"/>
    </xf>
    <xf numFmtId="165" fontId="7" fillId="2" borderId="1" applyAlignment="1" pivotButton="0" quotePrefix="0" xfId="0">
      <alignment horizontal="general" vertical="top" wrapText="1"/>
    </xf>
    <xf numFmtId="165" fontId="9" fillId="5" borderId="1" applyAlignment="1" pivotButton="0" quotePrefix="0" xfId="0">
      <alignment horizontal="general" vertical="top" wrapText="1"/>
    </xf>
    <xf numFmtId="3" fontId="7" fillId="2" borderId="1" applyAlignment="1" pivotButton="0" quotePrefix="0" xfId="0">
      <alignment horizontal="general" vertical="top" wrapText="1"/>
    </xf>
    <xf numFmtId="3" fontId="9" fillId="5" borderId="1" applyAlignment="1" pivotButton="0" quotePrefix="0" xfId="0">
      <alignment horizontal="general" vertical="top" wrapText="1"/>
    </xf>
    <xf numFmtId="2" fontId="7" fillId="2" borderId="1" applyAlignment="1" pivotButton="0" quotePrefix="0" xfId="0">
      <alignment horizontal="general" vertical="top" wrapText="1"/>
    </xf>
    <xf numFmtId="2" fontId="9" fillId="5" borderId="1" applyAlignment="1" pivotButton="0" quotePrefix="0" xfId="0">
      <alignment horizontal="general" vertical="top" wrapText="1"/>
    </xf>
    <xf numFmtId="4" fontId="7" fillId="2" borderId="1" applyAlignment="1" pivotButton="0" quotePrefix="0" xfId="0">
      <alignment horizontal="general" vertical="top" wrapText="1"/>
    </xf>
    <xf numFmtId="4" fontId="9" fillId="5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164" fontId="7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6" fontId="7" fillId="2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" fontId="9" fillId="5" borderId="0" applyAlignment="1" pivotButton="0" quotePrefix="0" xfId="0">
      <alignment horizontal="general" vertical="bottom"/>
    </xf>
    <xf numFmtId="165" fontId="9" fillId="5" borderId="0" applyAlignment="1" pivotButton="0" quotePrefix="0" xfId="0">
      <alignment horizontal="general" vertical="bottom"/>
    </xf>
    <xf numFmtId="164" fontId="9" fillId="5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  <xf numFmtId="1" fontId="7" fillId="2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1" fontId="7" fillId="2" borderId="1" applyAlignment="1" pivotButton="0" quotePrefix="0" xfId="0">
      <alignment horizontal="general" vertical="top" wrapText="1"/>
    </xf>
    <xf numFmtId="1" fontId="9" fillId="5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164" fontId="9" fillId="5" borderId="1" applyAlignment="1" pivotButton="0" quotePrefix="0" xfId="0">
      <alignment horizontal="general" vertical="top" wrapText="1"/>
    </xf>
    <xf numFmtId="165" fontId="7" fillId="2" borderId="1" applyAlignment="1" pivotButton="0" quotePrefix="0" xfId="0">
      <alignment horizontal="general" vertical="top" wrapText="1"/>
    </xf>
    <xf numFmtId="165" fontId="9" fillId="5" borderId="1" applyAlignment="1" pivotButton="0" quotePrefix="0" xfId="0">
      <alignment horizontal="general" vertical="top" wrapText="1"/>
    </xf>
    <xf numFmtId="3" fontId="7" fillId="2" borderId="1" applyAlignment="1" pivotButton="0" quotePrefix="0" xfId="0">
      <alignment horizontal="general" vertical="top" wrapText="1"/>
    </xf>
    <xf numFmtId="3" fontId="9" fillId="5" borderId="1" applyAlignment="1" pivotButton="0" quotePrefix="0" xfId="0">
      <alignment horizontal="general" vertical="top" wrapText="1"/>
    </xf>
    <xf numFmtId="2" fontId="7" fillId="2" borderId="1" applyAlignment="1" pivotButton="0" quotePrefix="0" xfId="0">
      <alignment horizontal="general" vertical="top" wrapText="1"/>
    </xf>
    <xf numFmtId="2" fontId="9" fillId="5" borderId="1" applyAlignment="1" pivotButton="0" quotePrefix="0" xfId="0">
      <alignment horizontal="general" vertical="top" wrapText="1"/>
    </xf>
    <xf numFmtId="4" fontId="7" fillId="2" borderId="1" applyAlignment="1" pivotButton="0" quotePrefix="0" xfId="0">
      <alignment horizontal="general" vertical="top" wrapText="1"/>
    </xf>
    <xf numFmtId="4" fontId="9" fillId="5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164" fontId="7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6" fontId="7" fillId="2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" fontId="9" fillId="5" borderId="0" applyAlignment="1" pivotButton="0" quotePrefix="0" xfId="0">
      <alignment horizontal="general" vertical="bottom"/>
    </xf>
    <xf numFmtId="165" fontId="9" fillId="5" borderId="0" applyAlignment="1" pivotButton="0" quotePrefix="0" xfId="0">
      <alignment horizontal="general" vertical="bottom"/>
    </xf>
    <xf numFmtId="164" fontId="9" fillId="5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  <xf numFmtId="1" fontId="7" fillId="2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35" min="1" max="1"/>
  </cols>
  <sheetData>
    <row r="1" ht="17.35" customHeight="1" s="36">
      <c r="A1" s="37" t="inlineStr">
        <is>
          <t>Data Center Developer Input Template</t>
        </is>
      </c>
    </row>
    <row r="2" ht="15" customHeight="1" s="36">
      <c r="A2" s="38" t="n"/>
    </row>
    <row r="3" ht="23.85" customHeight="1" s="36">
      <c r="A3" s="38" t="inlineStr">
        <is>
          <t>Purpose: collects only the inputs a data center developer can supply from its own project plan, utility agreements, customer contracts, site records, and counterparty offers.</t>
        </is>
      </c>
    </row>
    <row r="4" ht="15" customHeight="1" s="36">
      <c r="A4" s="38" t="n"/>
    </row>
    <row r="5" ht="15" customHeight="1" s="36">
      <c r="A5" s="39" t="inlineStr">
        <is>
          <t>How to fill it in</t>
        </is>
      </c>
    </row>
    <row r="6" ht="15" customHeight="1" s="36">
      <c r="A6" s="38" t="inlineStr">
        <is>
          <t>• Yellow cells with blue text are yours to edit. Everything else is fixed or calculated.</t>
        </is>
      </c>
    </row>
    <row r="7" ht="23.85" customHeight="1" s="36">
      <c r="A7" s="38" t="inlineStr">
        <is>
          <t>• 'Project Inputs': one row per variable. Enter your value in 'Your value'. 'Reference value' shows the figure used in the current case, as an example of scale and format. It is a placeholder, not a verified number.</t>
        </is>
      </c>
    </row>
    <row r="8" ht="15" customHeight="1" s="36">
      <c r="A8" s="38" t="inlineStr">
        <is>
          <t>• 'Load Ramp': enter mature peak demand, then the share of that demand online in each month since initial service. Equivalent MW is calculated.</t>
        </is>
      </c>
    </row>
    <row r="9" ht="23.85" customHeight="1" s="36">
      <c r="A9" s="38" t="inlineStr">
        <is>
          <t>• 'Grid Connection': enter each step in the utility's import-capacity schedule (month the step takes effect, and the maximum import in MW after that month).</t>
        </is>
      </c>
    </row>
    <row r="10" ht="15" customHeight="1" s="36">
      <c r="A10" s="38" t="inlineStr">
        <is>
          <t>• Months are elapsed model months counted from the project start (month 0).</t>
        </is>
      </c>
    </row>
    <row r="11" ht="15" customHeight="1" s="36">
      <c r="A11" s="38" t="inlineStr">
        <is>
          <t>• Dollar values are in 2023 USD, matching the reference case.</t>
        </is>
      </c>
    </row>
    <row r="12" ht="15" customHeight="1" s="36">
      <c r="A12" s="38" t="inlineStr">
        <is>
          <t>• Leave a cell blank if you do not have the information. Do not guess.</t>
        </is>
      </c>
    </row>
    <row r="13" ht="15" customHeight="1" s="36">
      <c r="A13" s="38" t="n"/>
    </row>
    <row r="14" ht="15" customHeight="1" s="36">
      <c r="A14" s="39" t="inlineStr">
        <is>
          <t>Deliberately excluded (not developer-supplied)</t>
        </is>
      </c>
    </row>
    <row r="15" ht="15" customHeight="1" s="36">
      <c r="A15" s="38" t="inlineStr">
        <is>
          <t>• Modeling conventions: horizon_months, hours_per_model_month, cost_start_rule, profile_repetition, terminal_value.</t>
        </is>
      </c>
    </row>
    <row r="16" ht="15" customHeight="1" s="36">
      <c r="A16" s="38" t="inlineStr">
        <is>
          <t>• Market and macro forecasts: wholesale_energy_annual_real_rate, henry_hub_annual_real_rate, grid_co2_annual_rate.</t>
        </is>
      </c>
    </row>
    <row r="17" ht="15" customHeight="1" s="36">
      <c r="A17" s="38" t="inlineStr">
        <is>
          <t>• Grid-stress scenario definitions set by the analyst or the grid operator: stress_import_fraction, maximum_event_duration_hours, tier2_max_fraction.</t>
        </is>
      </c>
    </row>
    <row r="18" ht="15" customHeight="1" s="36">
      <c r="A18" s="38" t="inlineStr">
        <is>
          <t>• Public emissions data: remote_co2_t_per_mwh.</t>
        </is>
      </c>
    </row>
    <row r="19" ht="15" customHeight="1" s="36">
      <c r="A19" s="38" t="inlineStr">
        <is>
          <t>• Derived or duplicate values: initial_load_fraction (is the month-0 row of 'Load Ramp'), equivalent_peak_mw (calculated on 'Load Ramp').</t>
        </is>
      </c>
    </row>
    <row r="21" ht="15" customHeight="1" s="36">
      <c r="A21" s="40" t="inlineStr">
        <is>
          <t>Edit-me cell style:</t>
        </is>
      </c>
    </row>
    <row r="22" ht="15" customHeight="1" s="36">
      <c r="A22" s="41" t="inlineStr">
        <is>
          <t>Example input</t>
        </is>
      </c>
    </row>
    <row r="24">
      <c r="A24" t="inlineStr">
        <is>
          <t>EXAMPLE ONLY: invented values to demonstrate a custom case. Not real developer data.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38" customWidth="1" style="35" min="1" max="1"/>
    <col width="62" customWidth="1" style="35" min="2" max="2"/>
    <col width="16" customWidth="1" style="35" min="3" max="4"/>
    <col width="18" customWidth="1" style="35" min="5" max="5"/>
    <col width="40" customWidth="1" style="35" min="6" max="6"/>
  </cols>
  <sheetData>
    <row r="1" ht="31.5" customHeight="1" s="36">
      <c r="A1" s="42" t="inlineStr">
        <is>
          <t>Parameter</t>
        </is>
      </c>
      <c r="B1" s="42" t="inlineStr">
        <is>
          <t>Description</t>
        </is>
      </c>
      <c r="C1" s="42" t="inlineStr">
        <is>
          <t>Unit</t>
        </is>
      </c>
      <c r="D1" s="42" t="inlineStr">
        <is>
          <t>Your value</t>
        </is>
      </c>
      <c r="E1" s="42" t="inlineStr">
        <is>
          <t>Reference value (current case)</t>
        </is>
      </c>
      <c r="F1" s="42" t="inlineStr">
        <is>
          <t>Likely source</t>
        </is>
      </c>
    </row>
    <row r="2" ht="15" customHeight="1" s="36">
      <c r="A2" s="43" t="inlineStr">
        <is>
          <t>1. Schedule and grid timing</t>
        </is>
      </c>
      <c r="B2" s="44" t="n"/>
      <c r="C2" s="44" t="n"/>
      <c r="D2" s="44" t="n"/>
      <c r="E2" s="44" t="n"/>
      <c r="F2" s="44" t="n"/>
    </row>
    <row r="3" ht="15" customHeight="1" s="36">
      <c r="A3" s="45" t="inlineStr">
        <is>
          <t>default_initial_service_month</t>
        </is>
      </c>
      <c r="B3" s="45" t="inlineStr">
        <is>
          <t>Month the first customer load goes live.</t>
        </is>
      </c>
      <c r="C3" s="45" t="inlineStr">
        <is>
          <t>elapsed months</t>
        </is>
      </c>
      <c r="D3" s="46" t="n">
        <v>22</v>
      </c>
      <c r="E3" s="47" t="n">
        <v>20</v>
      </c>
      <c r="F3" s="45" t="inlineStr">
        <is>
          <t>Customer contract / construction schedule</t>
        </is>
      </c>
    </row>
    <row r="4" ht="23.85" customHeight="1" s="36">
      <c r="A4" s="45" t="inlineStr">
        <is>
          <t>grid_delay_months</t>
        </is>
      </c>
      <c r="B4" s="45" t="inlineStr">
        <is>
          <t>Expected slip in the utility grid connection schedule. Base case is 0; enter a positive integer for a delay scenario.</t>
        </is>
      </c>
      <c r="C4" s="45" t="inlineStr">
        <is>
          <t>elapsed months</t>
        </is>
      </c>
      <c r="D4" s="46" t="n">
        <v>3</v>
      </c>
      <c r="E4" s="47" t="n">
        <v>0</v>
      </c>
      <c r="F4" s="45" t="inlineStr">
        <is>
          <t>Utility interconnection agreement; project risk register</t>
        </is>
      </c>
    </row>
    <row r="5" ht="15" customHeight="1" s="36">
      <c r="A5" s="43" t="inlineStr">
        <is>
          <t>2. Site and equipment footprint</t>
        </is>
      </c>
      <c r="B5" s="44" t="n"/>
      <c r="C5" s="44" t="n"/>
      <c r="D5" s="44" t="n"/>
      <c r="E5" s="44" t="n"/>
      <c r="F5" s="44" t="n"/>
    </row>
    <row r="6" ht="15" customHeight="1" s="36">
      <c r="A6" s="45" t="inlineStr">
        <is>
          <t>onsite_energy_land_acres</t>
        </is>
      </c>
      <c r="B6" s="45" t="inlineStr">
        <is>
          <t>Usable land available for on-site generation equipment.</t>
        </is>
      </c>
      <c r="C6" s="45" t="inlineStr">
        <is>
          <t>acres</t>
        </is>
      </c>
      <c r="D6" s="48" t="n">
        <v>6</v>
      </c>
      <c r="E6" s="49" t="n">
        <v>8</v>
      </c>
      <c r="F6" s="45" t="inlineStr">
        <is>
          <t>Site survey / parcel records</t>
        </is>
      </c>
    </row>
    <row r="7" ht="15" customHeight="1" s="36">
      <c r="A7" s="45" t="inlineStr">
        <is>
          <t>gas_engine_land_acres_per_mw</t>
        </is>
      </c>
      <c r="B7" s="45" t="inlineStr">
        <is>
          <t>Land needed per MW of gas engine capacity.</t>
        </is>
      </c>
      <c r="C7" s="45" t="inlineStr">
        <is>
          <t>acres/MW</t>
        </is>
      </c>
      <c r="D7" s="50" t="n">
        <v>0.06</v>
      </c>
      <c r="E7" s="51" t="n">
        <v>0.05</v>
      </c>
      <c r="F7" s="45" t="inlineStr">
        <is>
          <t>Vendor datasheet or quote</t>
        </is>
      </c>
    </row>
    <row r="8" ht="15" customHeight="1" s="36">
      <c r="A8" s="45" t="inlineStr">
        <is>
          <t>fuel_cell_land_acres_per_mw</t>
        </is>
      </c>
      <c r="B8" s="45" t="inlineStr">
        <is>
          <t>Land needed per MW of fuel cell capacity.</t>
        </is>
      </c>
      <c r="C8" s="45" t="inlineStr">
        <is>
          <t>acres/MW</t>
        </is>
      </c>
      <c r="D8" s="50" t="n">
        <v>0.04</v>
      </c>
      <c r="E8" s="51" t="n">
        <v>0.05</v>
      </c>
      <c r="F8" s="45" t="inlineStr">
        <is>
          <t>Vendor datasheet or quote</t>
        </is>
      </c>
    </row>
    <row r="9" ht="15" customHeight="1" s="36">
      <c r="A9" s="43" t="inlineStr">
        <is>
          <t>3. Load design and customer flexibility</t>
        </is>
      </c>
      <c r="B9" s="44" t="n"/>
      <c r="C9" s="44" t="n"/>
      <c r="D9" s="44" t="n"/>
      <c r="E9" s="44" t="n"/>
      <c r="F9" s="44" t="n"/>
    </row>
    <row r="10" ht="15" customHeight="1" s="36">
      <c r="A10" s="45" t="inlineStr">
        <is>
          <t>protected_infrastructure_floor_mw</t>
        </is>
      </c>
      <c r="B10" s="45" t="inlineStr">
        <is>
          <t>Load that must stay on site at all times (cannot be relocated or curtailed).</t>
        </is>
      </c>
      <c r="C10" s="45" t="inlineStr">
        <is>
          <t>MW</t>
        </is>
      </c>
      <c r="D10" s="48" t="n">
        <v>15</v>
      </c>
      <c r="E10" s="49" t="n">
        <v>10</v>
      </c>
      <c r="F10" s="45" t="inlineStr">
        <is>
          <t>Facility design / customer SLA</t>
        </is>
      </c>
    </row>
    <row r="11" ht="23.85" customHeight="1" s="36">
      <c r="A11" s="45" t="inlineStr">
        <is>
          <t>relocation_notice_minutes</t>
        </is>
      </c>
      <c r="B11" s="45" t="inlineStr">
        <is>
          <t>Advance notice the facility or customer needs to move flexible workloads off site.</t>
        </is>
      </c>
      <c r="C11" s="45" t="inlineStr">
        <is>
          <t>minutes</t>
        </is>
      </c>
      <c r="D11" s="46" t="n">
        <v>30</v>
      </c>
      <c r="E11" s="47" t="n">
        <v>30</v>
      </c>
      <c r="F11" s="45" t="inlineStr">
        <is>
          <t>Operations team / customer SLA</t>
        </is>
      </c>
    </row>
    <row r="12" ht="23.85" customHeight="1" s="36">
      <c r="A12" s="45" t="inlineStr">
        <is>
          <t>interruption_consequence_usd_per_mwh</t>
        </is>
      </c>
      <c r="B12" s="45" t="inlineStr">
        <is>
          <t>Cost to the customer or developer per MWh of load interrupted (SLA credits, lost revenue).</t>
        </is>
      </c>
      <c r="C12" s="45" t="inlineStr">
        <is>
          <t>2023 USD/MWh</t>
        </is>
      </c>
      <c r="D12" s="52" t="n">
        <v>800</v>
      </c>
      <c r="E12" s="53" t="n">
        <v>1000</v>
      </c>
      <c r="F12" s="45" t="inlineStr">
        <is>
          <t>Customer contract; SLA penalty terms</t>
        </is>
      </c>
    </row>
    <row r="13" ht="23.85" customHeight="1" s="36">
      <c r="A13" s="45" t="inlineStr">
        <is>
          <t>tier1_base_share</t>
        </is>
      </c>
      <c r="B13" s="45" t="inlineStr">
        <is>
          <t>Share of total load in flexibility tier 1 (average level). Confirm tier definition with the modeler.</t>
        </is>
      </c>
      <c r="C13" s="45" t="inlineStr">
        <is>
          <t>fraction (0–1)</t>
        </is>
      </c>
      <c r="D13" s="50" t="n">
        <v>0.3</v>
      </c>
      <c r="E13" s="51" t="n">
        <v>0.24</v>
      </c>
      <c r="F13" s="45" t="inlineStr">
        <is>
          <t>Customer workload mix</t>
        </is>
      </c>
    </row>
    <row r="14" ht="15" customHeight="1" s="36">
      <c r="A14" s="45" t="inlineStr">
        <is>
          <t>tier1_daily_amplitude</t>
        </is>
      </c>
      <c r="B14" s="45" t="inlineStr">
        <is>
          <t>Daily swing in tier 1 share, as a fraction of total load.</t>
        </is>
      </c>
      <c r="C14" s="45" t="inlineStr">
        <is>
          <t>fraction (0–1)</t>
        </is>
      </c>
      <c r="D14" s="50" t="n"/>
      <c r="E14" s="51" t="n">
        <v>0.04</v>
      </c>
      <c r="F14" s="45" t="inlineStr">
        <is>
          <t>Customer load profile data</t>
        </is>
      </c>
    </row>
    <row r="15" ht="15" customHeight="1" s="36">
      <c r="A15" s="45" t="inlineStr">
        <is>
          <t>tier1_weekly_amplitude</t>
        </is>
      </c>
      <c r="B15" s="45" t="inlineStr">
        <is>
          <t>Weekly swing in tier 1 share, as a fraction of total load.</t>
        </is>
      </c>
      <c r="C15" s="45" t="inlineStr">
        <is>
          <t>fraction (0–1)</t>
        </is>
      </c>
      <c r="D15" s="50" t="n"/>
      <c r="E15" s="51" t="n">
        <v>0.02</v>
      </c>
      <c r="F15" s="45" t="inlineStr">
        <is>
          <t>Customer load profile data</t>
        </is>
      </c>
    </row>
    <row r="16" ht="23.85" customHeight="1" s="36">
      <c r="A16" s="45" t="inlineStr">
        <is>
          <t>tier2_base_share</t>
        </is>
      </c>
      <c r="B16" s="45" t="inlineStr">
        <is>
          <t>Share of total load in flexibility tier 2 (average level). Confirm tier definition with the modeler.</t>
        </is>
      </c>
      <c r="C16" s="45" t="inlineStr">
        <is>
          <t>fraction (0–1)</t>
        </is>
      </c>
      <c r="D16" s="50" t="n"/>
      <c r="E16" s="51" t="n">
        <v>0.12</v>
      </c>
      <c r="F16" s="45" t="inlineStr">
        <is>
          <t>Customer workload mix</t>
        </is>
      </c>
    </row>
    <row r="17" ht="15" customHeight="1" s="36">
      <c r="A17" s="45" t="inlineStr">
        <is>
          <t>tier2_daily_amplitude</t>
        </is>
      </c>
      <c r="B17" s="45" t="inlineStr">
        <is>
          <t>Daily swing in tier 2 share, as a fraction of total load.</t>
        </is>
      </c>
      <c r="C17" s="45" t="inlineStr">
        <is>
          <t>fraction (0–1)</t>
        </is>
      </c>
      <c r="D17" s="50" t="n"/>
      <c r="E17" s="51" t="n">
        <v>0.025</v>
      </c>
      <c r="F17" s="45" t="inlineStr">
        <is>
          <t>Customer load profile data</t>
        </is>
      </c>
    </row>
    <row r="18" ht="15" customHeight="1" s="36">
      <c r="A18" s="45" t="inlineStr">
        <is>
          <t>tier2_weekly_amplitude</t>
        </is>
      </c>
      <c r="B18" s="45" t="inlineStr">
        <is>
          <t>Weekly swing in tier 2 share, as a fraction of total load.</t>
        </is>
      </c>
      <c r="C18" s="45" t="inlineStr">
        <is>
          <t>fraction (0–1)</t>
        </is>
      </c>
      <c r="D18" s="50" t="n"/>
      <c r="E18" s="51" t="n">
        <v>0.015</v>
      </c>
      <c r="F18" s="45" t="inlineStr">
        <is>
          <t>Customer load profile data</t>
        </is>
      </c>
    </row>
    <row r="19" ht="15" customHeight="1" s="36">
      <c r="A19" s="43" t="inlineStr">
        <is>
          <t>4. Remote (relocation) site terms</t>
        </is>
      </c>
      <c r="B19" s="44" t="n"/>
      <c r="C19" s="44" t="n"/>
      <c r="D19" s="44" t="n"/>
      <c r="E19" s="44" t="n"/>
      <c r="F19" s="44" t="n"/>
    </row>
    <row r="20" ht="15" customHeight="1" s="36">
      <c r="A20" s="45" t="inlineStr">
        <is>
          <t>remote_capacity_mw</t>
        </is>
      </c>
      <c r="B20" s="45" t="inlineStr">
        <is>
          <t>Capacity reserved at the remote site for relocated load.</t>
        </is>
      </c>
      <c r="C20" s="45" t="inlineStr">
        <is>
          <t>MW</t>
        </is>
      </c>
      <c r="D20" s="48" t="n">
        <v>8</v>
      </c>
      <c r="E20" s="49" t="n">
        <v>12</v>
      </c>
      <c r="F20" s="45" t="inlineStr">
        <is>
          <t>Remote site provider quote / agreement</t>
        </is>
      </c>
    </row>
    <row r="21" ht="23.85" customHeight="1" s="36">
      <c r="A21" s="45" t="inlineStr">
        <is>
          <t>remote_energy_multiplier</t>
        </is>
      </c>
      <c r="B21" s="45" t="inlineStr">
        <is>
          <t>Energy used at the remote site per unit of load relocated (overhead, 1.00 = no overhead).</t>
        </is>
      </c>
      <c r="C21" s="45" t="inlineStr">
        <is>
          <t>ratio</t>
        </is>
      </c>
      <c r="D21" s="54" t="n">
        <v>1.1</v>
      </c>
      <c r="E21" s="55" t="n">
        <v>1.05</v>
      </c>
      <c r="F21" s="45" t="inlineStr">
        <is>
          <t>Remote site provider</t>
        </is>
      </c>
    </row>
    <row r="22" ht="15" customHeight="1" s="36">
      <c r="A22" s="45" t="inlineStr">
        <is>
          <t>remote_electricity_usd_per_mwh</t>
        </is>
      </c>
      <c r="B22" s="45" t="inlineStr">
        <is>
          <t>Electricity price at the remote site.</t>
        </is>
      </c>
      <c r="C22" s="45" t="inlineStr">
        <is>
          <t>2023 USD/MWh</t>
        </is>
      </c>
      <c r="D22" s="56" t="n">
        <v>80</v>
      </c>
      <c r="E22" s="57" t="n">
        <v>70</v>
      </c>
      <c r="F22" s="45" t="inlineStr">
        <is>
          <t>Remote site provider tariff</t>
        </is>
      </c>
    </row>
    <row r="23" ht="15" customHeight="1" s="36">
      <c r="A23" s="45" t="inlineStr">
        <is>
          <t>relocation_service_usd_per_local_mwh</t>
        </is>
      </c>
      <c r="B23" s="45" t="inlineStr">
        <is>
          <t>Service charge per MWh of local load relocated.</t>
        </is>
      </c>
      <c r="C23" s="45" t="inlineStr">
        <is>
          <t>2023 USD/MWh</t>
        </is>
      </c>
      <c r="D23" s="56" t="n">
        <v>60</v>
      </c>
      <c r="E23" s="57" t="n">
        <v>50</v>
      </c>
      <c r="F23" s="45" t="inlineStr">
        <is>
          <t>Remote site provider quote</t>
        </is>
      </c>
    </row>
    <row r="24" ht="15" customHeight="1" s="36">
      <c r="A24" s="43" t="inlineStr">
        <is>
          <t>5. Long-term power supply offer (PPA)</t>
        </is>
      </c>
      <c r="B24" s="44" t="n"/>
      <c r="C24" s="44" t="n"/>
      <c r="D24" s="44" t="n"/>
      <c r="E24" s="44" t="n"/>
      <c r="F24" s="44" t="n"/>
    </row>
    <row r="25" ht="15" customHeight="1" s="36">
      <c r="A25" s="45" t="inlineStr">
        <is>
          <t>nuclear_available_month</t>
        </is>
      </c>
      <c r="B25" s="45" t="inlineStr">
        <is>
          <t>Month the contracted supply starts delivering.</t>
        </is>
      </c>
      <c r="C25" s="45" t="inlineStr">
        <is>
          <t>elapsed months</t>
        </is>
      </c>
      <c r="D25" s="46" t="n">
        <v>48</v>
      </c>
      <c r="E25" s="47" t="n">
        <v>60</v>
      </c>
      <c r="F25" s="45" t="inlineStr">
        <is>
          <t>PPA term sheet</t>
        </is>
      </c>
    </row>
    <row r="26" ht="15" customHeight="1" s="36">
      <c r="A26" s="45" t="inlineStr">
        <is>
          <t>nuclear_payment_usd_per_mwh</t>
        </is>
      </c>
      <c r="B26" s="45" t="inlineStr">
        <is>
          <t>Price paid per MWh delivered.</t>
        </is>
      </c>
      <c r="C26" s="45" t="inlineStr">
        <is>
          <t>2023 USD/MWh</t>
        </is>
      </c>
      <c r="D26" s="56" t="n">
        <v>100</v>
      </c>
      <c r="E26" s="57" t="n">
        <v>95</v>
      </c>
      <c r="F26" s="45" t="inlineStr">
        <is>
          <t>PPA term sheet</t>
        </is>
      </c>
    </row>
    <row r="27" ht="15" customHeight="1" s="36">
      <c r="A27" s="45" t="inlineStr">
        <is>
          <t>nuclear_max_mw</t>
        </is>
      </c>
      <c r="B27" s="45" t="inlineStr">
        <is>
          <t>Maximum delivered capacity (shares the campus import limit).</t>
        </is>
      </c>
      <c r="C27" s="45" t="inlineStr">
        <is>
          <t>MW</t>
        </is>
      </c>
      <c r="D27" s="48" t="n">
        <v>20</v>
      </c>
      <c r="E27" s="49" t="n">
        <v>25</v>
      </c>
      <c r="F27" s="45" t="inlineStr">
        <is>
          <t>PPA term sheet</t>
        </is>
      </c>
    </row>
  </sheetData>
  <dataValidations count="1">
    <dataValidation sqref="D13:D18" showDropDown="0" showInputMessage="0" showErrorMessage="1" allowBlank="0" errorTitle="Out of range" error="Enter a fraction between 0 and 1." type="decimal" errorStyle="stop" operator="between">
      <formula1>0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35" min="1" max="1"/>
    <col width="20" customWidth="1" style="35" min="2" max="2"/>
    <col width="30" customWidth="1" style="35" min="3" max="3"/>
    <col width="3" customWidth="1" style="35" min="4" max="4"/>
    <col width="24" customWidth="1" style="35" min="5" max="5"/>
    <col width="14" customWidth="1" style="35" min="6" max="6"/>
    <col width="10" customWidth="1" style="35" min="7" max="7"/>
  </cols>
  <sheetData>
    <row r="1" ht="15" customHeight="1" s="36">
      <c r="A1" s="58" t="inlineStr">
        <is>
          <t>Customer load ramp after initial service</t>
        </is>
      </c>
    </row>
    <row r="3" ht="15" customHeight="1" s="36">
      <c r="A3" s="40" t="inlineStr">
        <is>
          <t>mature_peak_demand_mw</t>
        </is>
      </c>
      <c r="B3" s="59" t="n">
        <v>60</v>
      </c>
      <c r="C3" s="60" t="inlineStr">
        <is>
          <t>MW. Full-load demand of the customer at maturity (reference case: 75). Needed to convert fractions to MW.</t>
        </is>
      </c>
    </row>
    <row r="5" ht="31.5" customHeight="1" s="36">
      <c r="A5" s="42" t="inlineStr">
        <is>
          <t>months_since_initial_service</t>
        </is>
      </c>
      <c r="B5" s="42" t="inlineStr">
        <is>
          <t>load_fraction (0–1)</t>
        </is>
      </c>
      <c r="C5" s="42" t="inlineStr">
        <is>
          <t>equivalent_peak_mw (calculated)</t>
        </is>
      </c>
      <c r="E5" s="40" t="inlineStr">
        <is>
          <t>Example (reference case)</t>
        </is>
      </c>
    </row>
    <row r="6" ht="15" customHeight="1" s="36">
      <c r="A6" s="61" t="n">
        <v>0</v>
      </c>
      <c r="B6" s="62" t="n">
        <v>0.25</v>
      </c>
      <c r="C6" s="63">
        <f>IF(OR(B6="",$B$3=""),"",B6*$B$3)</f>
        <v/>
      </c>
      <c r="E6" s="64" t="inlineStr">
        <is>
          <t>month</t>
        </is>
      </c>
      <c r="F6" s="64" t="inlineStr">
        <is>
          <t>load_fraction</t>
        </is>
      </c>
      <c r="G6" s="64" t="inlineStr">
        <is>
          <t>MW</t>
        </is>
      </c>
    </row>
    <row r="7" ht="15" customHeight="1" s="36">
      <c r="A7" s="61" t="n">
        <v>1</v>
      </c>
      <c r="B7" s="62" t="n">
        <v>0.3125</v>
      </c>
      <c r="C7" s="63">
        <f>IF(OR(B7="",$B$3=""),"",B7*$B$3)</f>
        <v/>
      </c>
      <c r="E7" s="65" t="n">
        <v>0</v>
      </c>
      <c r="F7" s="66" t="n">
        <v>0.333333333333333</v>
      </c>
      <c r="G7" s="67" t="n">
        <v>25</v>
      </c>
    </row>
    <row r="8" ht="15" customHeight="1" s="36">
      <c r="A8" s="61" t="n">
        <v>2</v>
      </c>
      <c r="B8" s="62" t="n">
        <v>0.375</v>
      </c>
      <c r="C8" s="63">
        <f>IF(OR(B8="",$B$3=""),"",B8*$B$3)</f>
        <v/>
      </c>
      <c r="E8" s="65" t="n">
        <v>1</v>
      </c>
      <c r="F8" s="66" t="n">
        <v>0.4</v>
      </c>
      <c r="G8" s="67" t="n">
        <v>30</v>
      </c>
    </row>
    <row r="9" ht="15" customHeight="1" s="36">
      <c r="A9" s="61" t="n">
        <v>3</v>
      </c>
      <c r="B9" s="62" t="n">
        <v>0.4375</v>
      </c>
      <c r="C9" s="63">
        <f>IF(OR(B9="",$B$3=""),"",B9*$B$3)</f>
        <v/>
      </c>
      <c r="E9" s="65" t="n">
        <v>5</v>
      </c>
      <c r="F9" s="66" t="n">
        <v>0.666666666666667</v>
      </c>
      <c r="G9" s="67" t="n">
        <v>50</v>
      </c>
    </row>
    <row r="10" ht="15" customHeight="1" s="36">
      <c r="A10" s="61" t="n">
        <v>4</v>
      </c>
      <c r="B10" s="62" t="n">
        <v>0.5</v>
      </c>
      <c r="C10" s="63">
        <f>IF(OR(B10="",$B$3=""),"",B10*$B$3)</f>
        <v/>
      </c>
      <c r="E10" s="65" t="n">
        <v>10</v>
      </c>
      <c r="F10" s="66" t="n">
        <v>1</v>
      </c>
      <c r="G10" s="67" t="n">
        <v>75</v>
      </c>
    </row>
    <row r="11" ht="15" customHeight="1" s="36">
      <c r="A11" s="61" t="n">
        <v>5</v>
      </c>
      <c r="B11" s="62" t="n">
        <v>0.5625</v>
      </c>
      <c r="C11" s="63">
        <f>IF(OR(B11="",$B$3=""),"",B11*$B$3)</f>
        <v/>
      </c>
    </row>
    <row r="12" ht="15" customHeight="1" s="36">
      <c r="A12" s="61" t="n">
        <v>6</v>
      </c>
      <c r="B12" s="62" t="n">
        <v>0.625</v>
      </c>
      <c r="C12" s="63">
        <f>IF(OR(B12="",$B$3=""),"",B12*$B$3)</f>
        <v/>
      </c>
      <c r="E12" s="68" t="inlineStr">
        <is>
          <t>Reference ramp: one-third of mature demand at opening, rising in equal monthly steps to 100% by month 10. Add or delete rows as needed; leave unused rows blank.</t>
        </is>
      </c>
    </row>
    <row r="13" ht="15" customHeight="1" s="36">
      <c r="A13" s="61" t="n">
        <v>7</v>
      </c>
      <c r="B13" s="62" t="n">
        <v>0.6875</v>
      </c>
      <c r="C13" s="63">
        <f>IF(OR(B13="",$B$3=""),"",B13*$B$3)</f>
        <v/>
      </c>
    </row>
    <row r="14" ht="15" customHeight="1" s="36">
      <c r="A14" s="61" t="n">
        <v>8</v>
      </c>
      <c r="B14" s="62" t="n">
        <v>0.75</v>
      </c>
      <c r="C14" s="63">
        <f>IF(OR(B14="",$B$3=""),"",B14*$B$3)</f>
        <v/>
      </c>
    </row>
    <row r="15" ht="15" customHeight="1" s="36">
      <c r="A15" s="61" t="n">
        <v>9</v>
      </c>
      <c r="B15" s="62" t="n">
        <v>0.8125</v>
      </c>
      <c r="C15" s="63">
        <f>IF(OR(B15="",$B$3=""),"",B15*$B$3)</f>
        <v/>
      </c>
    </row>
    <row r="16" ht="15" customHeight="1" s="36">
      <c r="A16" s="61" t="n">
        <v>10</v>
      </c>
      <c r="B16" s="62" t="n">
        <v>0.875</v>
      </c>
      <c r="C16" s="63">
        <f>IF(OR(B16="",$B$3=""),"",B16*$B$3)</f>
        <v/>
      </c>
    </row>
    <row r="17" ht="15" customHeight="1" s="36">
      <c r="A17" s="61" t="n">
        <v>11</v>
      </c>
      <c r="B17" s="62" t="n">
        <v>0.9375</v>
      </c>
      <c r="C17" s="63">
        <f>IF(OR(B17="",$B$3=""),"",B17*$B$3)</f>
        <v/>
      </c>
    </row>
    <row r="18" ht="15" customHeight="1" s="36">
      <c r="A18" s="61" t="n">
        <v>12</v>
      </c>
      <c r="B18" s="62" t="n">
        <v>1</v>
      </c>
      <c r="C18" s="63">
        <f>IF(OR(B18="",$B$3=""),"",B18*$B$3)</f>
        <v/>
      </c>
    </row>
    <row r="19" ht="15" customHeight="1" s="36">
      <c r="A19" s="61" t="n">
        <v>13</v>
      </c>
      <c r="B19" s="62" t="n"/>
      <c r="C19" s="63">
        <f>IF(OR(B19="",$B$3=""),"",B19*$B$3)</f>
        <v/>
      </c>
    </row>
    <row r="20" ht="15" customHeight="1" s="36">
      <c r="A20" s="61" t="n">
        <v>14</v>
      </c>
      <c r="B20" s="62" t="n"/>
      <c r="C20" s="63">
        <f>IF(OR(B20="",$B$3=""),"",B20*$B$3)</f>
        <v/>
      </c>
    </row>
    <row r="21" ht="15" customHeight="1" s="36">
      <c r="A21" s="61" t="n">
        <v>15</v>
      </c>
      <c r="B21" s="62" t="n"/>
      <c r="C21" s="63">
        <f>IF(OR(B21="",$B$3=""),"",B21*$B$3)</f>
        <v/>
      </c>
    </row>
    <row r="22" ht="15" customHeight="1" s="36">
      <c r="A22" s="61" t="n">
        <v>16</v>
      </c>
      <c r="B22" s="62" t="n"/>
      <c r="C22" s="63">
        <f>IF(OR(B22="",$B$3=""),"",B22*$B$3)</f>
        <v/>
      </c>
    </row>
    <row r="23" ht="15" customHeight="1" s="36">
      <c r="A23" s="61" t="n">
        <v>17</v>
      </c>
      <c r="B23" s="62" t="n"/>
      <c r="C23" s="63">
        <f>IF(OR(B23="",$B$3=""),"",B23*$B$3)</f>
        <v/>
      </c>
    </row>
    <row r="24" ht="15" customHeight="1" s="36">
      <c r="A24" s="61" t="n">
        <v>18</v>
      </c>
      <c r="B24" s="62" t="n"/>
      <c r="C24" s="63">
        <f>IF(OR(B24="",$B$3=""),"",B24*$B$3)</f>
        <v/>
      </c>
    </row>
    <row r="25" ht="15" customHeight="1" s="36">
      <c r="A25" s="61" t="n">
        <v>19</v>
      </c>
      <c r="B25" s="62" t="n"/>
      <c r="C25" s="63">
        <f>IF(OR(B25="",$B$3=""),"",B25*$B$3)</f>
        <v/>
      </c>
    </row>
    <row r="26" ht="15" customHeight="1" s="36">
      <c r="A26" s="61" t="n">
        <v>20</v>
      </c>
      <c r="B26" s="62" t="n"/>
      <c r="C26" s="63">
        <f>IF(OR(B26="",$B$3=""),"",B26*$B$3)</f>
        <v/>
      </c>
    </row>
    <row r="27" ht="15" customHeight="1" s="36">
      <c r="A27" s="61" t="n">
        <v>21</v>
      </c>
      <c r="B27" s="62" t="n"/>
      <c r="C27" s="63">
        <f>IF(OR(B27="",$B$3=""),"",B27*$B$3)</f>
        <v/>
      </c>
    </row>
    <row r="28" ht="15" customHeight="1" s="36">
      <c r="A28" s="61" t="n">
        <v>22</v>
      </c>
      <c r="B28" s="62" t="n"/>
      <c r="C28" s="63">
        <f>IF(OR(B28="",$B$3=""),"",B28*$B$3)</f>
        <v/>
      </c>
    </row>
    <row r="29" ht="15" customHeight="1" s="36">
      <c r="A29" s="61" t="n">
        <v>23</v>
      </c>
      <c r="B29" s="62" t="n"/>
      <c r="C29" s="63">
        <f>IF(OR(B29="",$B$3=""),"",B29*$B$3)</f>
        <v/>
      </c>
    </row>
    <row r="30" ht="15" customHeight="1" s="36">
      <c r="A30" s="61" t="n">
        <v>24</v>
      </c>
      <c r="B30" s="62" t="n"/>
      <c r="C30" s="63">
        <f>IF(OR(B30="",$B$3=""),"",B30*$B$3)</f>
        <v/>
      </c>
    </row>
  </sheetData>
  <mergeCells count="1">
    <mergeCell ref="E12:G15"/>
  </mergeCells>
  <dataValidations count="1">
    <dataValidation sqref="B6:B30" showDropDown="0" showInputMessage="0" showErrorMessage="1" allowBlank="0" errorTitle="Out of range" error="Enter a fraction between 0 and 1." type="decimal" errorStyle="stop" operator="between">
      <formula1>0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5" min="1" max="1"/>
    <col width="22" customWidth="1" style="35" min="2" max="2"/>
    <col width="3" customWidth="1" style="35" min="3" max="3"/>
    <col width="24" customWidth="1" style="35" min="4" max="4"/>
    <col width="16" customWidth="1" style="35" min="5" max="5"/>
    <col width="10" customWidth="1" style="35" min="6" max="6"/>
  </cols>
  <sheetData>
    <row r="1" ht="15" customHeight="1" s="36">
      <c r="A1" s="58" t="inlineStr">
        <is>
          <t>Utility grid import capacity schedule</t>
        </is>
      </c>
    </row>
    <row r="2" ht="15" customHeight="1" s="36">
      <c r="A2" s="60" t="inlineStr">
        <is>
          <t>One row per step. Each step applies from its start month until the next step begins. Enter rows in ascending month order.</t>
        </is>
      </c>
    </row>
    <row r="4" ht="31.5" customHeight="1" s="36">
      <c r="A4" s="42" t="inlineStr">
        <is>
          <t>from_month (elapsed months)</t>
        </is>
      </c>
      <c r="B4" s="42" t="inlineStr">
        <is>
          <t>max_import_mw (MW)</t>
        </is>
      </c>
      <c r="D4" s="40" t="inlineStr">
        <is>
          <t>Example (reference case)</t>
        </is>
      </c>
    </row>
    <row r="5" ht="15" customHeight="1" s="36">
      <c r="A5" s="69" t="n">
        <v>0</v>
      </c>
      <c r="B5" s="59" t="n">
        <v>0</v>
      </c>
      <c r="D5" s="64" t="inlineStr">
        <is>
          <t>from_month</t>
        </is>
      </c>
      <c r="E5" s="64" t="inlineStr">
        <is>
          <t>max_import_mw</t>
        </is>
      </c>
    </row>
    <row r="6" ht="15" customHeight="1" s="36">
      <c r="A6" s="69" t="n">
        <v>16</v>
      </c>
      <c r="B6" s="59" t="n">
        <v>20</v>
      </c>
      <c r="D6" s="70" t="n">
        <v>0</v>
      </c>
      <c r="E6" s="70" t="n">
        <v>0</v>
      </c>
    </row>
    <row r="7" ht="15" customHeight="1" s="36">
      <c r="A7" s="69" t="n">
        <v>26</v>
      </c>
      <c r="B7" s="59" t="n">
        <v>45</v>
      </c>
      <c r="D7" s="70" t="n">
        <v>18</v>
      </c>
      <c r="E7" s="70" t="n">
        <v>25</v>
      </c>
    </row>
    <row r="8" ht="15" customHeight="1" s="36">
      <c r="A8" s="69" t="n">
        <v>34</v>
      </c>
      <c r="B8" s="59" t="n">
        <v>60</v>
      </c>
      <c r="D8" s="70" t="n">
        <v>24</v>
      </c>
      <c r="E8" s="70" t="n">
        <v>50</v>
      </c>
    </row>
    <row r="9" ht="15" customHeight="1" s="36">
      <c r="A9" s="69" t="n"/>
      <c r="B9" s="59" t="n"/>
      <c r="D9" s="70" t="n">
        <v>30</v>
      </c>
      <c r="E9" s="70" t="n">
        <v>75</v>
      </c>
    </row>
    <row r="10" ht="15" customHeight="1" s="36">
      <c r="A10" s="69" t="n"/>
      <c r="B10" s="59" t="n"/>
    </row>
    <row r="11" ht="15" customHeight="1" s="36">
      <c r="A11" s="69" t="n"/>
      <c r="B11" s="59" t="n"/>
      <c r="D11" s="68" t="inlineStr">
        <is>
          <t>Reference: no import until month 18, then 25 MW, 50 MW from month 24, 75 MW from month 30. Source: utility interconnection agreement or energization schedule.</t>
        </is>
      </c>
    </row>
    <row r="12" ht="15" customHeight="1" s="36">
      <c r="A12" s="69" t="n"/>
      <c r="B12" s="59" t="n"/>
    </row>
    <row r="13" ht="15" customHeight="1" s="36">
      <c r="A13" s="69" t="n"/>
      <c r="B13" s="59" t="n"/>
    </row>
    <row r="14" ht="15" customHeight="1" s="36">
      <c r="A14" s="69" t="n"/>
      <c r="B14" s="59" t="n"/>
    </row>
  </sheetData>
  <mergeCells count="1">
    <mergeCell ref="D11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2026-10-24T17:35:19Z</dcterms:created>
  <dcterms:modified xsi:type="dcterms:W3CDTF">2026-10-24T17:54:36Z</dcterms:modified>
  <cp:revision>0</cp:revision>
</cp:coreProperties>
</file>