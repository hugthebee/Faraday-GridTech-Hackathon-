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ject Inputs" sheetId="2" state="visible" r:id="rId4"/>
    <sheet name="Load Ramp" sheetId="3" state="visible" r:id="rId5"/>
    <sheet name="Grid Conn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<sst xmlns="http://schemas.openxmlformats.org/spreadsheetml/2006/main" count="132" uniqueCount="110">
  <si>
    <t xml:space="preserve">Data Center Developer Input Template</t>
  </si>
  <si>
    <t xml:space="preserve">Purpose: collects only the inputs a data center developer can supply from its own project plan, utility agreements, customer contracts, site records, and counterparty offers.</t>
  </si>
  <si>
    <t xml:space="preserve">How to fill it in</t>
  </si>
  <si>
    <t xml:space="preserve">• Yellow cells with blue text are yours to edit. Everything else is fixed or calculated.</t>
  </si>
  <si>
    <t xml:space="preserve">• 'Project Inputs': one row per variable. Enter your value in 'Your value'. 'Reference value' shows the figure used in the current case, as an example of scale and format. It is a placeholder, not a verified number.</t>
  </si>
  <si>
    <t xml:space="preserve">• 'Load Ramp': enter mature peak demand, then the share of that demand online in each month since initial service. Equivalent MW is calculated.</t>
  </si>
  <si>
    <t xml:space="preserve">• 'Grid Connection': enter each step in the utility's import-capacity schedule (month the step takes effect, and the maximum import in MW after that month).</t>
  </si>
  <si>
    <t xml:space="preserve">• Months are elapsed model months counted from the project start (month 0).</t>
  </si>
  <si>
    <t xml:space="preserve">• Dollar values are in 2023 USD, matching the reference case.</t>
  </si>
  <si>
    <t xml:space="preserve">• Leave a cell blank if you do not have the information. Do not guess.</t>
  </si>
  <si>
    <t xml:space="preserve">Deliberately excluded (not developer-supplied)</t>
  </si>
  <si>
    <t xml:space="preserve">• Modeling conventions: horizon_months, hours_per_model_month, cost_start_rule, profile_repetition, terminal_value.</t>
  </si>
  <si>
    <t xml:space="preserve">• Market and macro forecasts: wholesale_energy_annual_real_rate, henry_hub_annual_real_rate, grid_co2_annual_rate.</t>
  </si>
  <si>
    <t xml:space="preserve">• Grid-stress scenario definitions set by the analyst or the grid operator: stress_import_fraction, maximum_event_duration_hours, tier2_max_fraction.</t>
  </si>
  <si>
    <t xml:space="preserve">• Public emissions data: remote_co2_t_per_mwh.</t>
  </si>
  <si>
    <t xml:space="preserve">• Derived or duplicate values: initial_load_fraction (is the month-0 row of 'Load Ramp'), equivalent_peak_mw (calculated on 'Load Ramp').</t>
  </si>
  <si>
    <t xml:space="preserve">Edit-me cell style:</t>
  </si>
  <si>
    <t xml:space="preserve">Example input</t>
  </si>
  <si>
    <t xml:space="preserve">Parameter</t>
  </si>
  <si>
    <t xml:space="preserve">Description</t>
  </si>
  <si>
    <t xml:space="preserve">Unit</t>
  </si>
  <si>
    <t xml:space="preserve">Your value</t>
  </si>
  <si>
    <t xml:space="preserve">Reference value (current case)</t>
  </si>
  <si>
    <t xml:space="preserve">Likely source</t>
  </si>
  <si>
    <t xml:space="preserve">1. Schedule and grid timing</t>
  </si>
  <si>
    <t xml:space="preserve">default_initial_service_month</t>
  </si>
  <si>
    <t xml:space="preserve">Month the first customer load goes live.</t>
  </si>
  <si>
    <t xml:space="preserve">elapsed months</t>
  </si>
  <si>
    <t xml:space="preserve">Customer contract / construction schedule</t>
  </si>
  <si>
    <t xml:space="preserve">grid_delay_months</t>
  </si>
  <si>
    <t xml:space="preserve">Expected slip in the utility grid connection schedule. Base case is 0; enter a positive integer for a delay scenario.</t>
  </si>
  <si>
    <t xml:space="preserve">Utility interconnection agreement; project risk register</t>
  </si>
  <si>
    <t xml:space="preserve">2. Site and equipment footprint</t>
  </si>
  <si>
    <t xml:space="preserve">onsite_energy_land_acres</t>
  </si>
  <si>
    <t xml:space="preserve">Usable land available for on-site generation equipment.</t>
  </si>
  <si>
    <t xml:space="preserve">acres</t>
  </si>
  <si>
    <t xml:space="preserve">Site survey / parcel records</t>
  </si>
  <si>
    <t xml:space="preserve">gas_engine_land_acres_per_mw</t>
  </si>
  <si>
    <t xml:space="preserve">Land needed per MW of gas engine capacity.</t>
  </si>
  <si>
    <t xml:space="preserve">acres/MW</t>
  </si>
  <si>
    <t xml:space="preserve">Vendor datasheet or quote</t>
  </si>
  <si>
    <t xml:space="preserve">fuel_cell_land_acres_per_mw</t>
  </si>
  <si>
    <t xml:space="preserve">Land needed per MW of fuel cell capacity.</t>
  </si>
  <si>
    <t xml:space="preserve">3. Load design and customer flexibility</t>
  </si>
  <si>
    <t xml:space="preserve">protected_infrastructure_floor_mw</t>
  </si>
  <si>
    <t xml:space="preserve">Load that must stay on site at all times (cannot be relocated or curtailed).</t>
  </si>
  <si>
    <t xml:space="preserve">MW</t>
  </si>
  <si>
    <t xml:space="preserve">Facility design / customer SLA</t>
  </si>
  <si>
    <t xml:space="preserve">relocation_notice_minutes</t>
  </si>
  <si>
    <t xml:space="preserve">Advance notice the facility or customer needs to move flexible workloads off site.</t>
  </si>
  <si>
    <t xml:space="preserve">minutes</t>
  </si>
  <si>
    <t xml:space="preserve">Operations team / customer SLA</t>
  </si>
  <si>
    <t xml:space="preserve">interruption_consequence_usd_per_mwh</t>
  </si>
  <si>
    <t xml:space="preserve">Cost to the customer or developer per MWh of load interrupted (SLA credits, lost revenue).</t>
  </si>
  <si>
    <t xml:space="preserve">2023 USD/MWh</t>
  </si>
  <si>
    <t xml:space="preserve">Customer contract; SLA penalty terms</t>
  </si>
  <si>
    <t xml:space="preserve">tier1_base_share</t>
  </si>
  <si>
    <t xml:space="preserve">Share of total load in flexibility tier 1 (average level). Confirm tier definition with the modeler.</t>
  </si>
  <si>
    <t xml:space="preserve">fraction (0–1)</t>
  </si>
  <si>
    <t xml:space="preserve">Customer workload mix</t>
  </si>
  <si>
    <t xml:space="preserve">tier1_daily_amplitude</t>
  </si>
  <si>
    <t xml:space="preserve">Daily swing in tier 1 share, as a fraction of total load.</t>
  </si>
  <si>
    <t xml:space="preserve">Customer load profile data</t>
  </si>
  <si>
    <t xml:space="preserve">tier1_weekly_amplitude</t>
  </si>
  <si>
    <t xml:space="preserve">Weekly swing in tier 1 share, as a fraction of total load.</t>
  </si>
  <si>
    <t xml:space="preserve">tier2_base_share</t>
  </si>
  <si>
    <t xml:space="preserve">Share of total load in flexibility tier 2 (average level). Confirm tier definition with the modeler.</t>
  </si>
  <si>
    <t xml:space="preserve">tier2_daily_amplitude</t>
  </si>
  <si>
    <t xml:space="preserve">Daily swing in tier 2 share, as a fraction of total load.</t>
  </si>
  <si>
    <t xml:space="preserve">tier2_weekly_amplitude</t>
  </si>
  <si>
    <t xml:space="preserve">Weekly swing in tier 2 share, as a fraction of total load.</t>
  </si>
  <si>
    <t xml:space="preserve">4. Remote (relocation) site terms</t>
  </si>
  <si>
    <t xml:space="preserve">remote_capacity_mw</t>
  </si>
  <si>
    <t xml:space="preserve">Capacity reserved at the remote site for relocated load.</t>
  </si>
  <si>
    <t xml:space="preserve">Remote site provider quote / agreement</t>
  </si>
  <si>
    <t xml:space="preserve">remote_energy_multiplier</t>
  </si>
  <si>
    <t xml:space="preserve">Energy used at the remote site per unit of load relocated (overhead, 1.00 = no overhead).</t>
  </si>
  <si>
    <t xml:space="preserve">ratio</t>
  </si>
  <si>
    <t xml:space="preserve">Remote site provider</t>
  </si>
  <si>
    <t xml:space="preserve">remote_electricity_usd_per_mwh</t>
  </si>
  <si>
    <t xml:space="preserve">Electricity price at the remote site.</t>
  </si>
  <si>
    <t xml:space="preserve">Remote site provider tariff</t>
  </si>
  <si>
    <t xml:space="preserve">relocation_service_usd_per_local_mwh</t>
  </si>
  <si>
    <t xml:space="preserve">Service charge per MWh of local load relocated.</t>
  </si>
  <si>
    <t xml:space="preserve">Remote site provider quote</t>
  </si>
  <si>
    <t xml:space="preserve">5. Long-term power supply offer (PPA)</t>
  </si>
  <si>
    <t xml:space="preserve">nuclear_available_month</t>
  </si>
  <si>
    <t xml:space="preserve">Month the contracted supply starts delivering.</t>
  </si>
  <si>
    <t xml:space="preserve">PPA term sheet</t>
  </si>
  <si>
    <t xml:space="preserve">nuclear_payment_usd_per_mwh</t>
  </si>
  <si>
    <t xml:space="preserve">Price paid per MWh delivered.</t>
  </si>
  <si>
    <t xml:space="preserve">nuclear_max_mw</t>
  </si>
  <si>
    <t xml:space="preserve">Maximum delivered capacity (shares the campus import limit).</t>
  </si>
  <si>
    <t xml:space="preserve">Customer load ramp after initial service</t>
  </si>
  <si>
    <t xml:space="preserve">mature_peak_demand_mw</t>
  </si>
  <si>
    <t xml:space="preserve">MW. Full-load demand of the customer at maturity (reference case: 75). Needed to convert fractions to MW.</t>
  </si>
  <si>
    <t xml:space="preserve">months_since_initial_service</t>
  </si>
  <si>
    <t xml:space="preserve">load_fraction (0–1)</t>
  </si>
  <si>
    <t xml:space="preserve">equivalent_peak_mw (calculated)</t>
  </si>
  <si>
    <t xml:space="preserve">Example (reference case)</t>
  </si>
  <si>
    <t xml:space="preserve">month</t>
  </si>
  <si>
    <t xml:space="preserve">load_fraction</t>
  </si>
  <si>
    <t xml:space="preserve">Reference ramp: one-third of mature demand at opening, rising in equal monthly steps to 100% by month 10. Add or delete rows as needed; leave unused rows blank.</t>
  </si>
  <si>
    <t xml:space="preserve">Utility grid import capacity schedule</t>
  </si>
  <si>
    <t xml:space="preserve">One row per step. Each step applies from its start month until the next step begins. Enter rows in ascending month order.</t>
  </si>
  <si>
    <t xml:space="preserve">from_month (elapsed months)</t>
  </si>
  <si>
    <t xml:space="preserve">max_import_mw (MW)</t>
  </si>
  <si>
    <t xml:space="preserve">from_month</t>
  </si>
  <si>
    <t xml:space="preserve">max_import_mw</t>
  </si>
  <si>
    <t xml:space="preserve">Reference: no import until month 18, then 25 MW, 50 MW from month 24, 75 MW from month 30. Source: utility interconnection agreement or energization schedule.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</si>
</sst>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"/>
    <numFmt numFmtId="167" formatCode="0.000"/>
    <numFmt numFmtId="168" formatCode="#,##0"/>
    <numFmt numFmtId="169" formatCode="0.00"/>
    <numFmt numFmtId="170" formatCode="#,##0.00"/>
    <numFmt numFmtId="171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7F7F7F"/>
      <name val="Arial"/>
      <family val="0"/>
      <charset val="1"/>
    </font>
    <font>
      <sz val="9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23.8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23.8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31.5" hidden="false" customHeight="tru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</row>
    <row r="2" customFormat="false" ht="15" hidden="false" customHeight="false" outlineLevel="0" collapsed="false">
      <c r="A2" s="7" t="s">
        <v>24</v>
      </c>
      <c r="B2" s="8"/>
      <c r="C2" s="8"/>
      <c r="D2" s="8"/>
      <c r="E2" s="8"/>
      <c r="F2" s="8"/>
    </row>
    <row r="3" customFormat="false" ht="15" hidden="false" customHeight="false" outlineLevel="0" collapsed="false">
      <c r="A3" s="9" t="s">
        <v>25</v>
      </c>
      <c r="B3" s="9" t="s">
        <v>26</v>
      </c>
      <c r="C3" s="9" t="s">
        <v>27</v>
      </c>
      <c r="D3" s="10"/>
      <c r="E3" s="11" t="n">
        <v>20</v>
      </c>
      <c r="F3" s="9" t="s">
        <v>28</v>
      </c>
    </row>
    <row r="4" customFormat="false" ht="23.85" hidden="false" customHeight="false" outlineLevel="0" collapsed="false">
      <c r="A4" s="9" t="s">
        <v>29</v>
      </c>
      <c r="B4" s="9" t="s">
        <v>30</v>
      </c>
      <c r="C4" s="9" t="s">
        <v>27</v>
      </c>
      <c r="D4" s="10"/>
      <c r="E4" s="11" t="n">
        <v>0</v>
      </c>
      <c r="F4" s="9" t="s">
        <v>31</v>
      </c>
    </row>
    <row r="5" customFormat="false" ht="15" hidden="false" customHeight="false" outlineLevel="0" collapsed="false">
      <c r="A5" s="7" t="s">
        <v>32</v>
      </c>
      <c r="B5" s="8"/>
      <c r="C5" s="8"/>
      <c r="D5" s="8"/>
      <c r="E5" s="8"/>
      <c r="F5" s="8"/>
    </row>
    <row r="6" customFormat="false" ht="15" hidden="false" customHeight="false" outlineLevel="0" collapsed="false">
      <c r="A6" s="9" t="s">
        <v>33</v>
      </c>
      <c r="B6" s="9" t="s">
        <v>34</v>
      </c>
      <c r="C6" s="9" t="s">
        <v>35</v>
      </c>
      <c r="D6" s="12"/>
      <c r="E6" s="13" t="n">
        <v>8</v>
      </c>
      <c r="F6" s="9" t="s">
        <v>36</v>
      </c>
    </row>
    <row r="7" customFormat="false" ht="15" hidden="false" customHeight="false" outlineLevel="0" collapsed="false">
      <c r="A7" s="9" t="s">
        <v>37</v>
      </c>
      <c r="B7" s="9" t="s">
        <v>38</v>
      </c>
      <c r="C7" s="9" t="s">
        <v>39</v>
      </c>
      <c r="D7" s="14"/>
      <c r="E7" s="15" t="n">
        <v>0.05</v>
      </c>
      <c r="F7" s="9" t="s">
        <v>40</v>
      </c>
    </row>
    <row r="8" customFormat="false" ht="15" hidden="false" customHeight="false" outlineLevel="0" collapsed="false">
      <c r="A8" s="9" t="s">
        <v>41</v>
      </c>
      <c r="B8" s="9" t="s">
        <v>42</v>
      </c>
      <c r="C8" s="9" t="s">
        <v>39</v>
      </c>
      <c r="D8" s="14"/>
      <c r="E8" s="15" t="n">
        <v>0.05</v>
      </c>
      <c r="F8" s="9" t="s">
        <v>40</v>
      </c>
    </row>
    <row r="9" customFormat="false" ht="15" hidden="false" customHeight="false" outlineLevel="0" collapsed="false">
      <c r="A9" s="7" t="s">
        <v>43</v>
      </c>
      <c r="B9" s="8"/>
      <c r="C9" s="8"/>
      <c r="D9" s="8"/>
      <c r="E9" s="8"/>
      <c r="F9" s="8"/>
    </row>
    <row r="10" customFormat="false" ht="15" hidden="false" customHeight="false" outlineLevel="0" collapsed="false">
      <c r="A10" s="9" t="s">
        <v>44</v>
      </c>
      <c r="B10" s="9" t="s">
        <v>45</v>
      </c>
      <c r="C10" s="9" t="s">
        <v>46</v>
      </c>
      <c r="D10" s="12"/>
      <c r="E10" s="13" t="n">
        <v>10</v>
      </c>
      <c r="F10" s="9" t="s">
        <v>47</v>
      </c>
    </row>
    <row r="11" customFormat="false" ht="23.85" hidden="false" customHeight="false" outlineLevel="0" collapsed="false">
      <c r="A11" s="9" t="s">
        <v>48</v>
      </c>
      <c r="B11" s="9" t="s">
        <v>49</v>
      </c>
      <c r="C11" s="9" t="s">
        <v>50</v>
      </c>
      <c r="D11" s="10"/>
      <c r="E11" s="11" t="n">
        <v>30</v>
      </c>
      <c r="F11" s="9" t="s">
        <v>51</v>
      </c>
    </row>
    <row r="12" customFormat="false" ht="23.85" hidden="false" customHeight="false" outlineLevel="0" collapsed="false">
      <c r="A12" s="9" t="s">
        <v>52</v>
      </c>
      <c r="B12" s="9" t="s">
        <v>53</v>
      </c>
      <c r="C12" s="9" t="s">
        <v>54</v>
      </c>
      <c r="D12" s="16"/>
      <c r="E12" s="17" t="n">
        <v>1000</v>
      </c>
      <c r="F12" s="9" t="s">
        <v>55</v>
      </c>
    </row>
    <row r="13" customFormat="false" ht="23.85" hidden="false" customHeight="false" outlineLevel="0" collapsed="false">
      <c r="A13" s="9" t="s">
        <v>56</v>
      </c>
      <c r="B13" s="9" t="s">
        <v>57</v>
      </c>
      <c r="C13" s="9" t="s">
        <v>58</v>
      </c>
      <c r="D13" s="14"/>
      <c r="E13" s="15" t="n">
        <v>0.24</v>
      </c>
      <c r="F13" s="9" t="s">
        <v>59</v>
      </c>
    </row>
    <row r="14" customFormat="false" ht="15" hidden="false" customHeight="false" outlineLevel="0" collapsed="false">
      <c r="A14" s="9" t="s">
        <v>60</v>
      </c>
      <c r="B14" s="9" t="s">
        <v>61</v>
      </c>
      <c r="C14" s="9" t="s">
        <v>58</v>
      </c>
      <c r="D14" s="14"/>
      <c r="E14" s="15" t="n">
        <v>0.04</v>
      </c>
      <c r="F14" s="9" t="s">
        <v>62</v>
      </c>
    </row>
    <row r="15" customFormat="false" ht="15" hidden="false" customHeight="false" outlineLevel="0" collapsed="false">
      <c r="A15" s="9" t="s">
        <v>63</v>
      </c>
      <c r="B15" s="9" t="s">
        <v>64</v>
      </c>
      <c r="C15" s="9" t="s">
        <v>58</v>
      </c>
      <c r="D15" s="14"/>
      <c r="E15" s="15" t="n">
        <v>0.02</v>
      </c>
      <c r="F15" s="9" t="s">
        <v>62</v>
      </c>
    </row>
    <row r="16" customFormat="false" ht="23.85" hidden="false" customHeight="false" outlineLevel="0" collapsed="false">
      <c r="A16" s="9" t="s">
        <v>65</v>
      </c>
      <c r="B16" s="9" t="s">
        <v>66</v>
      </c>
      <c r="C16" s="9" t="s">
        <v>58</v>
      </c>
      <c r="D16" s="14"/>
      <c r="E16" s="15" t="n">
        <v>0.12</v>
      </c>
      <c r="F16" s="9" t="s">
        <v>59</v>
      </c>
    </row>
    <row r="17" customFormat="false" ht="15" hidden="false" customHeight="false" outlineLevel="0" collapsed="false">
      <c r="A17" s="9" t="s">
        <v>67</v>
      </c>
      <c r="B17" s="9" t="s">
        <v>68</v>
      </c>
      <c r="C17" s="9" t="s">
        <v>58</v>
      </c>
      <c r="D17" s="14"/>
      <c r="E17" s="15" t="n">
        <v>0.025</v>
      </c>
      <c r="F17" s="9" t="s">
        <v>62</v>
      </c>
    </row>
    <row r="18" customFormat="false" ht="15" hidden="false" customHeight="false" outlineLevel="0" collapsed="false">
      <c r="A18" s="9" t="s">
        <v>69</v>
      </c>
      <c r="B18" s="9" t="s">
        <v>70</v>
      </c>
      <c r="C18" s="9" t="s">
        <v>58</v>
      </c>
      <c r="D18" s="14"/>
      <c r="E18" s="15" t="n">
        <v>0.015</v>
      </c>
      <c r="F18" s="9" t="s">
        <v>62</v>
      </c>
    </row>
    <row r="19" customFormat="false" ht="15" hidden="false" customHeight="false" outlineLevel="0" collapsed="false">
      <c r="A19" s="7" t="s">
        <v>71</v>
      </c>
      <c r="B19" s="8"/>
      <c r="C19" s="8"/>
      <c r="D19" s="8"/>
      <c r="E19" s="8"/>
      <c r="F19" s="8"/>
    </row>
    <row r="20" customFormat="false" ht="15" hidden="false" customHeight="false" outlineLevel="0" collapsed="false">
      <c r="A20" s="9" t="s">
        <v>72</v>
      </c>
      <c r="B20" s="9" t="s">
        <v>73</v>
      </c>
      <c r="C20" s="9" t="s">
        <v>46</v>
      </c>
      <c r="D20" s="12"/>
      <c r="E20" s="13" t="n">
        <v>12</v>
      </c>
      <c r="F20" s="9" t="s">
        <v>74</v>
      </c>
    </row>
    <row r="21" customFormat="false" ht="23.85" hidden="false" customHeight="false" outlineLevel="0" collapsed="false">
      <c r="A21" s="9" t="s">
        <v>75</v>
      </c>
      <c r="B21" s="9" t="s">
        <v>76</v>
      </c>
      <c r="C21" s="9" t="s">
        <v>77</v>
      </c>
      <c r="D21" s="18"/>
      <c r="E21" s="19" t="n">
        <v>1.05</v>
      </c>
      <c r="F21" s="9" t="s">
        <v>78</v>
      </c>
    </row>
    <row r="22" customFormat="false" ht="15" hidden="false" customHeight="false" outlineLevel="0" collapsed="false">
      <c r="A22" s="9" t="s">
        <v>79</v>
      </c>
      <c r="B22" s="9" t="s">
        <v>80</v>
      </c>
      <c r="C22" s="9" t="s">
        <v>54</v>
      </c>
      <c r="D22" s="20"/>
      <c r="E22" s="21" t="n">
        <v>70</v>
      </c>
      <c r="F22" s="9" t="s">
        <v>81</v>
      </c>
    </row>
    <row r="23" customFormat="false" ht="15" hidden="false" customHeight="false" outlineLevel="0" collapsed="false">
      <c r="A23" s="9" t="s">
        <v>82</v>
      </c>
      <c r="B23" s="9" t="s">
        <v>83</v>
      </c>
      <c r="C23" s="9" t="s">
        <v>54</v>
      </c>
      <c r="D23" s="20"/>
      <c r="E23" s="21" t="n">
        <v>50</v>
      </c>
      <c r="F23" s="9" t="s">
        <v>84</v>
      </c>
    </row>
    <row r="24" customFormat="false" ht="15" hidden="false" customHeight="false" outlineLevel="0" collapsed="false">
      <c r="A24" s="7" t="s">
        <v>85</v>
      </c>
      <c r="B24" s="8"/>
      <c r="C24" s="8"/>
      <c r="D24" s="8"/>
      <c r="E24" s="8"/>
      <c r="F24" s="8"/>
    </row>
    <row r="25" customFormat="false" ht="15" hidden="false" customHeight="false" outlineLevel="0" collapsed="false">
      <c r="A25" s="9" t="s">
        <v>86</v>
      </c>
      <c r="B25" s="9" t="s">
        <v>87</v>
      </c>
      <c r="C25" s="9" t="s">
        <v>27</v>
      </c>
      <c r="D25" s="10"/>
      <c r="E25" s="11" t="n">
        <v>60</v>
      </c>
      <c r="F25" s="9" t="s">
        <v>88</v>
      </c>
    </row>
    <row r="26" customFormat="false" ht="15" hidden="false" customHeight="false" outlineLevel="0" collapsed="false">
      <c r="A26" s="9" t="s">
        <v>89</v>
      </c>
      <c r="B26" s="9" t="s">
        <v>90</v>
      </c>
      <c r="C26" s="9" t="s">
        <v>54</v>
      </c>
      <c r="D26" s="20"/>
      <c r="E26" s="21" t="n">
        <v>95</v>
      </c>
      <c r="F26" s="9" t="s">
        <v>88</v>
      </c>
    </row>
    <row r="27" customFormat="false" ht="15" hidden="false" customHeight="false" outlineLevel="0" collapsed="false">
      <c r="A27" s="9" t="s">
        <v>91</v>
      </c>
      <c r="B27" s="9" t="s">
        <v>92</v>
      </c>
      <c r="C27" s="9" t="s">
        <v>46</v>
      </c>
      <c r="D27" s="12"/>
      <c r="E27" s="13" t="n">
        <v>25</v>
      </c>
      <c r="F27" s="9" t="s">
        <v>88</v>
      </c>
    </row>
  </sheetData>
  <dataValidations count="1">
    <dataValidation allowBlank="false" error="Enter a fraction between 0 and 1." errorStyle="stop" errorTitle="Out of range" operator="between" showDropDown="false" showErrorMessage="true" showInputMessage="false" sqref="D13:D18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22" t="s">
        <v>93</v>
      </c>
    </row>
    <row r="3" customFormat="false" ht="15" hidden="false" customHeight="false" outlineLevel="0" collapsed="false">
      <c r="A3" s="4" t="s">
        <v>94</v>
      </c>
      <c r="B3" s="23"/>
      <c r="C3" s="24" t="s">
        <v>95</v>
      </c>
    </row>
    <row r="5" customFormat="false" ht="31.5" hidden="false" customHeight="true" outlineLevel="0" collapsed="false">
      <c r="A5" s="6" t="s">
        <v>96</v>
      </c>
      <c r="B5" s="6" t="s">
        <v>97</v>
      </c>
      <c r="C5" s="6" t="s">
        <v>98</v>
      </c>
      <c r="E5" s="4" t="s">
        <v>99</v>
      </c>
    </row>
    <row r="6" customFormat="false" ht="15" hidden="false" customHeight="false" outlineLevel="0" collapsed="false">
      <c r="A6" s="25" t="n">
        <v>0</v>
      </c>
      <c r="B6" s="26"/>
      <c r="C6" s="27" t="str">
        <f aca="false">IF(OR(B6="",$B$3=""),"",B6*$B$3)</f>
        <v/>
      </c>
      <c r="E6" s="28" t="s">
        <v>100</v>
      </c>
      <c r="F6" s="28" t="s">
        <v>101</v>
      </c>
      <c r="G6" s="28" t="s">
        <v>46</v>
      </c>
    </row>
    <row r="7" customFormat="false" ht="15" hidden="false" customHeight="false" outlineLevel="0" collapsed="false">
      <c r="A7" s="25" t="n">
        <v>1</v>
      </c>
      <c r="B7" s="26"/>
      <c r="C7" s="27" t="str">
        <f aca="false">IF(OR(B7="",$B$3=""),"",B7*$B$3)</f>
        <v/>
      </c>
      <c r="E7" s="29" t="n">
        <v>0</v>
      </c>
      <c r="F7" s="30" t="n">
        <v>0.333333333333333</v>
      </c>
      <c r="G7" s="31" t="n">
        <v>25</v>
      </c>
    </row>
    <row r="8" customFormat="false" ht="15" hidden="false" customHeight="false" outlineLevel="0" collapsed="false">
      <c r="A8" s="25" t="n">
        <v>2</v>
      </c>
      <c r="B8" s="26"/>
      <c r="C8" s="27" t="str">
        <f aca="false">IF(OR(B8="",$B$3=""),"",B8*$B$3)</f>
        <v/>
      </c>
      <c r="E8" s="29" t="n">
        <v>1</v>
      </c>
      <c r="F8" s="30" t="n">
        <v>0.4</v>
      </c>
      <c r="G8" s="31" t="n">
        <v>30</v>
      </c>
    </row>
    <row r="9" customFormat="false" ht="15" hidden="false" customHeight="false" outlineLevel="0" collapsed="false">
      <c r="A9" s="25" t="n">
        <v>3</v>
      </c>
      <c r="B9" s="26"/>
      <c r="C9" s="27" t="str">
        <f aca="false">IF(OR(B9="",$B$3=""),"",B9*$B$3)</f>
        <v/>
      </c>
      <c r="E9" s="29" t="n">
        <v>5</v>
      </c>
      <c r="F9" s="30" t="n">
        <v>0.666666666666667</v>
      </c>
      <c r="G9" s="31" t="n">
        <v>50</v>
      </c>
    </row>
    <row r="10" customFormat="false" ht="15" hidden="false" customHeight="false" outlineLevel="0" collapsed="false">
      <c r="A10" s="25" t="n">
        <v>4</v>
      </c>
      <c r="B10" s="26"/>
      <c r="C10" s="27" t="str">
        <f aca="false">IF(OR(B10="",$B$3=""),"",B10*$B$3)</f>
        <v/>
      </c>
      <c r="E10" s="29" t="n">
        <v>10</v>
      </c>
      <c r="F10" s="30" t="n">
        <v>1</v>
      </c>
      <c r="G10" s="31" t="n">
        <v>75</v>
      </c>
    </row>
    <row r="11" customFormat="false" ht="15" hidden="false" customHeight="false" outlineLevel="0" collapsed="false">
      <c r="A11" s="25" t="n">
        <v>5</v>
      </c>
      <c r="B11" s="26"/>
      <c r="C11" s="27" t="str">
        <f aca="false">IF(OR(B11="",$B$3=""),"",B11*$B$3)</f>
        <v/>
      </c>
    </row>
    <row r="12" customFormat="false" ht="15" hidden="false" customHeight="true" outlineLevel="0" collapsed="false">
      <c r="A12" s="25" t="n">
        <v>6</v>
      </c>
      <c r="B12" s="26"/>
      <c r="C12" s="27" t="str">
        <f aca="false">IF(OR(B12="",$B$3=""),"",B12*$B$3)</f>
        <v/>
      </c>
      <c r="E12" s="32" t="s">
        <v>102</v>
      </c>
      <c r="F12" s="32"/>
      <c r="G12" s="32"/>
    </row>
    <row r="13" customFormat="false" ht="15" hidden="false" customHeight="false" outlineLevel="0" collapsed="false">
      <c r="A13" s="25" t="n">
        <v>7</v>
      </c>
      <c r="B13" s="26"/>
      <c r="C13" s="27" t="str">
        <f aca="false">IF(OR(B13="",$B$3=""),"",B13*$B$3)</f>
        <v/>
      </c>
      <c r="E13" s="32"/>
      <c r="F13" s="32"/>
      <c r="G13" s="32"/>
    </row>
    <row r="14" customFormat="false" ht="15" hidden="false" customHeight="false" outlineLevel="0" collapsed="false">
      <c r="A14" s="25" t="n">
        <v>8</v>
      </c>
      <c r="B14" s="26"/>
      <c r="C14" s="27" t="str">
        <f aca="false">IF(OR(B14="",$B$3=""),"",B14*$B$3)</f>
        <v/>
      </c>
      <c r="E14" s="32"/>
      <c r="F14" s="32"/>
      <c r="G14" s="32"/>
    </row>
    <row r="15" customFormat="false" ht="15" hidden="false" customHeight="false" outlineLevel="0" collapsed="false">
      <c r="A15" s="25" t="n">
        <v>9</v>
      </c>
      <c r="B15" s="26"/>
      <c r="C15" s="27" t="str">
        <f aca="false">IF(OR(B15="",$B$3=""),"",B15*$B$3)</f>
        <v/>
      </c>
      <c r="E15" s="32"/>
      <c r="F15" s="32"/>
      <c r="G15" s="32"/>
    </row>
    <row r="16" customFormat="false" ht="15" hidden="false" customHeight="false" outlineLevel="0" collapsed="false">
      <c r="A16" s="25" t="n">
        <v>10</v>
      </c>
      <c r="B16" s="26"/>
      <c r="C16" s="27" t="str">
        <f aca="false">IF(OR(B16="",$B$3=""),"",B16*$B$3)</f>
        <v/>
      </c>
    </row>
    <row r="17" customFormat="false" ht="15" hidden="false" customHeight="false" outlineLevel="0" collapsed="false">
      <c r="A17" s="25" t="n">
        <v>11</v>
      </c>
      <c r="B17" s="26"/>
      <c r="C17" s="27" t="str">
        <f aca="false">IF(OR(B17="",$B$3=""),"",B17*$B$3)</f>
        <v/>
      </c>
    </row>
    <row r="18" customFormat="false" ht="15" hidden="false" customHeight="false" outlineLevel="0" collapsed="false">
      <c r="A18" s="25" t="n">
        <v>12</v>
      </c>
      <c r="B18" s="26"/>
      <c r="C18" s="27" t="str">
        <f aca="false">IF(OR(B18="",$B$3=""),"",B18*$B$3)</f>
        <v/>
      </c>
    </row>
    <row r="19" customFormat="false" ht="15" hidden="false" customHeight="false" outlineLevel="0" collapsed="false">
      <c r="A19" s="25" t="n">
        <v>13</v>
      </c>
      <c r="B19" s="26"/>
      <c r="C19" s="27" t="str">
        <f aca="false">IF(OR(B19="",$B$3=""),"",B19*$B$3)</f>
        <v/>
      </c>
    </row>
    <row r="20" customFormat="false" ht="15" hidden="false" customHeight="false" outlineLevel="0" collapsed="false">
      <c r="A20" s="25" t="n">
        <v>14</v>
      </c>
      <c r="B20" s="26"/>
      <c r="C20" s="27" t="str">
        <f aca="false">IF(OR(B20="",$B$3=""),"",B20*$B$3)</f>
        <v/>
      </c>
    </row>
    <row r="21" customFormat="false" ht="15" hidden="false" customHeight="false" outlineLevel="0" collapsed="false">
      <c r="A21" s="25" t="n">
        <v>15</v>
      </c>
      <c r="B21" s="26"/>
      <c r="C21" s="27" t="str">
        <f aca="false">IF(OR(B21="",$B$3=""),"",B21*$B$3)</f>
        <v/>
      </c>
    </row>
    <row r="22" customFormat="false" ht="15" hidden="false" customHeight="false" outlineLevel="0" collapsed="false">
      <c r="A22" s="25" t="n">
        <v>16</v>
      </c>
      <c r="B22" s="26"/>
      <c r="C22" s="27" t="str">
        <f aca="false">IF(OR(B22="",$B$3=""),"",B22*$B$3)</f>
        <v/>
      </c>
    </row>
    <row r="23" customFormat="false" ht="15" hidden="false" customHeight="false" outlineLevel="0" collapsed="false">
      <c r="A23" s="25" t="n">
        <v>17</v>
      </c>
      <c r="B23" s="26"/>
      <c r="C23" s="27" t="str">
        <f aca="false">IF(OR(B23="",$B$3=""),"",B23*$B$3)</f>
        <v/>
      </c>
    </row>
    <row r="24" customFormat="false" ht="15" hidden="false" customHeight="false" outlineLevel="0" collapsed="false">
      <c r="A24" s="25" t="n">
        <v>18</v>
      </c>
      <c r="B24" s="26"/>
      <c r="C24" s="27" t="str">
        <f aca="false">IF(OR(B24="",$B$3=""),"",B24*$B$3)</f>
        <v/>
      </c>
    </row>
    <row r="25" customFormat="false" ht="15" hidden="false" customHeight="false" outlineLevel="0" collapsed="false">
      <c r="A25" s="25" t="n">
        <v>19</v>
      </c>
      <c r="B25" s="26"/>
      <c r="C25" s="27" t="str">
        <f aca="false">IF(OR(B25="",$B$3=""),"",B25*$B$3)</f>
        <v/>
      </c>
    </row>
    <row r="26" customFormat="false" ht="15" hidden="false" customHeight="false" outlineLevel="0" collapsed="false">
      <c r="A26" s="25" t="n">
        <v>20</v>
      </c>
      <c r="B26" s="26"/>
      <c r="C26" s="27" t="str">
        <f aca="false">IF(OR(B26="",$B$3=""),"",B26*$B$3)</f>
        <v/>
      </c>
    </row>
    <row r="27" customFormat="false" ht="15" hidden="false" customHeight="false" outlineLevel="0" collapsed="false">
      <c r="A27" s="25" t="n">
        <v>21</v>
      </c>
      <c r="B27" s="26"/>
      <c r="C27" s="27" t="str">
        <f aca="false">IF(OR(B27="",$B$3=""),"",B27*$B$3)</f>
        <v/>
      </c>
    </row>
    <row r="28" customFormat="false" ht="15" hidden="false" customHeight="false" outlineLevel="0" collapsed="false">
      <c r="A28" s="25" t="n">
        <v>22</v>
      </c>
      <c r="B28" s="26"/>
      <c r="C28" s="27" t="str">
        <f aca="false">IF(OR(B28="",$B$3=""),"",B28*$B$3)</f>
        <v/>
      </c>
    </row>
    <row r="29" customFormat="false" ht="15" hidden="false" customHeight="false" outlineLevel="0" collapsed="false">
      <c r="A29" s="25" t="n">
        <v>23</v>
      </c>
      <c r="B29" s="26"/>
      <c r="C29" s="27" t="str">
        <f aca="false">IF(OR(B29="",$B$3=""),"",B29*$B$3)</f>
        <v/>
      </c>
    </row>
    <row r="30" customFormat="false" ht="15" hidden="false" customHeight="false" outlineLevel="0" collapsed="false">
      <c r="A30" s="25" t="n">
        <v>24</v>
      </c>
      <c r="B30" s="26"/>
      <c r="C30" s="27" t="str">
        <f aca="false">IF(OR(B30="",$B$3=""),"",B30*$B$3)</f>
        <v/>
      </c>
    </row>
  </sheetData>
  <mergeCells count="1">
    <mergeCell ref="E12:G15"/>
  </mergeCells>
  <dataValidations count="1">
    <dataValidation allowBlank="false" error="Enter a fraction between 0 and 1." errorStyle="stop" errorTitle="Out of range" operator="between" showDropDown="false" showErrorMessage="true" showInputMessage="false" sqref="B6:B3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22" t="s">
        <v>103</v>
      </c>
    </row>
    <row r="2" customFormat="false" ht="15" hidden="false" customHeight="false" outlineLevel="0" collapsed="false">
      <c r="A2" s="24" t="s">
        <v>104</v>
      </c>
    </row>
    <row r="4" customFormat="false" ht="31.5" hidden="false" customHeight="true" outlineLevel="0" collapsed="false">
      <c r="A4" s="6" t="s">
        <v>105</v>
      </c>
      <c r="B4" s="6" t="s">
        <v>106</v>
      </c>
      <c r="D4" s="4" t="s">
        <v>99</v>
      </c>
    </row>
    <row r="5" customFormat="false" ht="15" hidden="false" customHeight="false" outlineLevel="0" collapsed="false">
      <c r="A5" s="33"/>
      <c r="B5" s="23"/>
      <c r="D5" s="28" t="s">
        <v>107</v>
      </c>
      <c r="E5" s="28" t="s">
        <v>108</v>
      </c>
    </row>
    <row r="6" customFormat="false" ht="15" hidden="false" customHeight="false" outlineLevel="0" collapsed="false">
      <c r="A6" s="33"/>
      <c r="B6" s="23"/>
      <c r="D6" s="34" t="n">
        <v>0</v>
      </c>
      <c r="E6" s="34" t="n">
        <v>0</v>
      </c>
    </row>
    <row r="7" customFormat="false" ht="15" hidden="false" customHeight="false" outlineLevel="0" collapsed="false">
      <c r="A7" s="33"/>
      <c r="B7" s="23"/>
      <c r="D7" s="34" t="n">
        <v>18</v>
      </c>
      <c r="E7" s="34" t="n">
        <v>25</v>
      </c>
    </row>
    <row r="8" customFormat="false" ht="15" hidden="false" customHeight="false" outlineLevel="0" collapsed="false">
      <c r="A8" s="33"/>
      <c r="B8" s="23"/>
      <c r="D8" s="34" t="n">
        <v>24</v>
      </c>
      <c r="E8" s="34" t="n">
        <v>50</v>
      </c>
    </row>
    <row r="9" customFormat="false" ht="15" hidden="false" customHeight="false" outlineLevel="0" collapsed="false">
      <c r="A9" s="33"/>
      <c r="B9" s="23"/>
      <c r="D9" s="34" t="n">
        <v>30</v>
      </c>
      <c r="E9" s="34" t="n">
        <v>75</v>
      </c>
    </row>
    <row r="10" customFormat="false" ht="15" hidden="false" customHeight="false" outlineLevel="0" collapsed="false">
      <c r="A10" s="33"/>
      <c r="B10" s="23"/>
    </row>
    <row r="11" customFormat="false" ht="15" hidden="false" customHeight="true" outlineLevel="0" collapsed="false">
      <c r="A11" s="33"/>
      <c r="B11" s="23"/>
      <c r="D11" s="32" t="s">
        <v>109</v>
      </c>
      <c r="E11" s="32"/>
      <c r="F11" s="32"/>
    </row>
    <row r="12" customFormat="false" ht="15" hidden="false" customHeight="false" outlineLevel="0" collapsed="false">
      <c r="A12" s="33"/>
      <c r="B12" s="23"/>
      <c r="D12" s="32"/>
      <c r="E12" s="32"/>
      <c r="F12" s="32"/>
    </row>
    <row r="13" customFormat="false" ht="15" hidden="false" customHeight="false" outlineLevel="0" collapsed="false">
      <c r="A13" s="33"/>
      <c r="B13" s="23"/>
      <c r="D13" s="32"/>
      <c r="E13" s="32"/>
      <c r="F13" s="32"/>
    </row>
    <row r="14" customFormat="false" ht="15" hidden="false" customHeight="false" outlineLevel="0" collapsed="false">
      <c r="A14" s="33"/>
      <c r="B14" s="23"/>
      <c r="D14" s="32"/>
      <c r="E14" s="32"/>
      <c r="F14" s="32"/>
    </row>
  </sheetData>
  <mergeCells count="1">
    <mergeCell ref="D11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2026-10-24T17:35:19Z</dcterms:created>
  <dc:creator>openpyxl</dc:creator>
  <dc:description/>
  <dc:language>en-US</dc:language>
  <cp:lastModifiedBy/>
  <dcterms:modified xsi:type="dcterms:W3CDTF">2026-10-24T17:35:19Z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